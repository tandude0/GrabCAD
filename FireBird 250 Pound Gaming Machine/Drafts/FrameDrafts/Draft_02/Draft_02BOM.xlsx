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ketitttttt\Documents\GrabCAD\FireBird 250 Pound Gaming Machine\Drafts\FrameDrafts\Draft_02\"/>
    </mc:Choice>
  </mc:AlternateContent>
  <xr:revisionPtr revIDLastSave="0" documentId="13_ncr:1_{FDBA8FC7-8EB2-4162-9DB6-F085F9AC693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ART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3" i="1"/>
  <c r="F12" i="1"/>
  <c r="F15" i="1"/>
  <c r="F14" i="1"/>
  <c r="F17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G10" i="1"/>
  <c r="G15" i="1"/>
  <c r="G13" i="1"/>
  <c r="G18" i="1"/>
  <c r="G19" i="1"/>
  <c r="G29" i="1"/>
  <c r="G30" i="1"/>
  <c r="G8" i="1"/>
  <c r="G14" i="1"/>
  <c r="G26" i="1"/>
  <c r="G24" i="1"/>
  <c r="G31" i="1"/>
  <c r="G28" i="1"/>
  <c r="G2" i="1"/>
  <c r="G3" i="1"/>
  <c r="G4" i="1"/>
  <c r="G27" i="1"/>
  <c r="G5" i="1"/>
  <c r="G7" i="1"/>
  <c r="G12" i="1"/>
  <c r="G11" i="1"/>
  <c r="G17" i="1"/>
  <c r="G16" i="1"/>
  <c r="G6" i="1"/>
  <c r="G21" i="1"/>
  <c r="G20" i="1"/>
  <c r="G25" i="1"/>
  <c r="G23" i="1"/>
  <c r="G22" i="1"/>
  <c r="G9" i="1"/>
  <c r="F32" i="1" l="1"/>
</calcChain>
</file>

<file path=xl/sharedStrings.xml><?xml version="1.0" encoding="utf-8"?>
<sst xmlns="http://schemas.openxmlformats.org/spreadsheetml/2006/main" count="101" uniqueCount="76">
  <si>
    <t>ITEM</t>
  </si>
  <si>
    <t>QTY</t>
  </si>
  <si>
    <t>PART NUMBER</t>
  </si>
  <si>
    <t>DESCRIPTION</t>
  </si>
  <si>
    <t>MASS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</si>
  <si>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</si>
  <si>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</si>
  <si>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</si>
  <si>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</si>
  <si>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</si>
  <si>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</si>
  <si>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</si>
  <si>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</si>
  <si>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</si>
  <si>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</si>
  <si>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</si>
  <si>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</si>
  <si>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</si>
  <si>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</si>
  <si>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</si>
  <si>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</si>
  <si>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</si>
  <si>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</si>
  <si>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</si>
  <si>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</si>
  <si>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</si>
  <si>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</si>
  <si>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</si>
  <si>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</si>
  <si>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</si>
  <si>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</si>
  <si>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</si>
  <si>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</si>
  <si>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</si>
  <si>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NeckFrame_02</t>
  </si>
  <si>
    <t>FrontWallFrame_02</t>
  </si>
  <si>
    <t>BackWallFrame_02</t>
  </si>
  <si>
    <t>SmallSideFrame_02</t>
  </si>
  <si>
    <t>DriveSideFrame_02</t>
  </si>
  <si>
    <t>6524K421_FRICTION TORQUE LIMITER</t>
  </si>
  <si>
    <t>MotorMountingPlates</t>
  </si>
  <si>
    <t>MotorMockup</t>
  </si>
  <si>
    <t>GearboxMockup</t>
  </si>
  <si>
    <t>AS 2465 - 3/8 x 1 1/4  UNC</t>
  </si>
  <si>
    <t>AS 2465 - 3/8  UNC</t>
  </si>
  <si>
    <t>Unbrako - 8 x 1 1/4</t>
  </si>
  <si>
    <t>Unbrako - 5/16 x 1 3/4</t>
  </si>
  <si>
    <t>Roller Chain</t>
  </si>
  <si>
    <t>Roller Chain Sprocket1</t>
  </si>
  <si>
    <t>Roller Chain Sprocket2</t>
  </si>
  <si>
    <t>SKF Series EEB - EEB 9-Z</t>
  </si>
  <si>
    <t>Shaft</t>
  </si>
  <si>
    <t>WeaponDraft02</t>
  </si>
  <si>
    <t>TopBottomUHMW</t>
  </si>
  <si>
    <t>TopBottomPlates</t>
  </si>
  <si>
    <t>FrontWallUHMW</t>
  </si>
  <si>
    <t>BackWallUHMW</t>
  </si>
  <si>
    <t>BS 3134 SKF - SKF K-07100 S/K-07210 X</t>
  </si>
  <si>
    <t>SmallFrontWallUHMW</t>
  </si>
  <si>
    <t>AS 2465 - 3/8 x 1 1/2  UNC</t>
  </si>
  <si>
    <t>ANSI B18.2.2 - 3/8 - 16, HNI</t>
  </si>
  <si>
    <t>AS 2465 - 3/8 x 2  UNC</t>
  </si>
  <si>
    <t>AS 2465 - 3/8 x 2 1/2  UNC</t>
  </si>
  <si>
    <t/>
  </si>
  <si>
    <t>STEP AP203</t>
  </si>
  <si>
    <t>Unified hexagon bolts, screws and nuts (UNC and UNF threads)</t>
  </si>
  <si>
    <t>Hexagon Socket Head Cap Screw</t>
  </si>
  <si>
    <t>Deep Groove Ball Bearings with Shields - Type Z</t>
  </si>
  <si>
    <t>Taper Roller Bearings Single Row in Inch Dimension SKF</t>
  </si>
  <si>
    <t>Hex Nuts (Inch Series) Hex Nut</t>
  </si>
  <si>
    <t>*Varies*</t>
  </si>
  <si>
    <t>0.120 kg</t>
  </si>
  <si>
    <t>Wheel Mockup</t>
  </si>
  <si>
    <t>Percent</t>
  </si>
  <si>
    <t>Total Mass</t>
  </si>
  <si>
    <r>
      <t xml:space="preserve">278.121 pound in cad with 74.5 pound weapon after changing frontwallframe to 3/8", backwallframe and backwalluhmw to 3/4", front wall uhmw to 1/2".   Likely pocket neck more, change other frame parts to 3/8", pocket drive side frame, and pocket uprights, </t>
    </r>
    <r>
      <rPr>
        <sz val="11"/>
        <color theme="1" tint="0.499984740745262"/>
        <rFont val="Calibri"/>
        <family val="2"/>
      </rPr>
      <t>bigger pocketing on wheels just place em better</t>
    </r>
    <r>
      <rPr>
        <sz val="11"/>
        <color theme="1" tint="0.249977111117893"/>
        <rFont val="Calibri"/>
        <family val="2"/>
      </rPr>
      <t xml:space="preserve"> wheels </t>
    </r>
    <r>
      <rPr>
        <sz val="11"/>
        <color theme="1"/>
        <rFont val="Calibri"/>
        <family val="2"/>
      </rPr>
      <t xml:space="preserve">done </t>
    </r>
    <r>
      <rPr>
        <sz val="11"/>
        <rFont val="Calibri"/>
        <family val="2"/>
      </rPr>
      <t xml:space="preserve"> 275.638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</si>
</sst>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3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 tint="0.499984740745262"/>
      <name val="Calibri"/>
      <family val="2"/>
    </font>
    <font>
      <sz val="11"/>
      <color theme="1" tint="0.24997711111789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</fills>
  <borders count="1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3" fillId="0" borderId="3" xfId="0" applyNumberFormat="1" applyFont="1" applyBorder="1" applyAlignment="1" applyProtection="1"/>
    <xf numFmtId="0" fontId="4" fillId="0" borderId="4" xfId="0" applyNumberFormat="1" applyFont="1" applyBorder="1" applyAlignment="1" applyProtection="1"/>
    <xf numFmtId="0" fontId="5" fillId="0" borderId="5" xfId="0" applyNumberFormat="1" applyFont="1" applyBorder="1" applyAlignment="1" applyProtection="1"/>
    <xf numFmtId="10" fontId="0" fillId="0" borderId="0" xfId="1" applyNumberFormat="1" applyFont="1"/>
    <xf numFmtId="10" fontId="0" fillId="2" borderId="0" xfId="1" applyNumberFormat="1" applyFont="1" applyFill="1"/>
    <xf numFmtId="10" fontId="0" fillId="3" borderId="0" xfId="1" applyNumberFormat="1" applyFont="1" applyFill="1"/>
    <xf numFmtId="10" fontId="0" fillId="4" borderId="0" xfId="1" applyNumberFormat="1" applyFont="1" applyFill="1"/>
    <xf numFmtId="0" fontId="1" fillId="0" borderId="0" xfId="0" applyFont="1"/>
    <xf numFmtId="0" fontId="56" fillId="0" borderId="50" xfId="0" applyNumberFormat="1" applyFont="1" applyBorder="1" applyAlignment="1" applyProtection="1"/>
    <xf numFmtId="0" fontId="57" fillId="0" borderId="49" xfId="0" applyNumberFormat="1" applyFont="1" applyBorder="1" applyAlignment="1" applyProtection="1"/>
    <xf numFmtId="0" fontId="85" fillId="0" borderId="79" xfId="0" applyNumberFormat="1" applyFont="1" applyBorder="1" applyAlignment="1" applyProtection="1"/>
    <xf numFmtId="0" fontId="86" fillId="0" borderId="78" xfId="0" applyNumberFormat="1" applyFont="1" applyBorder="1" applyAlignment="1" applyProtection="1"/>
    <xf numFmtId="0" fontId="114" fillId="0" borderId="108" xfId="0" applyNumberFormat="1" applyFont="1" applyBorder="1" applyAlignment="1" applyProtection="1"/>
    <xf numFmtId="0" fontId="115" fillId="0" borderId="107" xfId="0" applyNumberFormat="1" applyFont="1" applyBorder="1" applyAlignment="1" applyProtection="1"/>
    <xf numFmtId="0" fontId="142" fillId="0" borderId="137" xfId="0" applyNumberFormat="1" applyFont="1" applyBorder="1" applyAlignment="1" applyProtection="1"/>
    <xf numFmtId="0" fontId="143" fillId="0" borderId="136" xfId="0" applyNumberFormat="1" applyFont="1" applyBorder="1" applyAlignment="1" applyProtection="1"/>
    <xf numFmtId="0" fontId="48" fillId="0" borderId="35" xfId="0" applyNumberFormat="1" applyFont="1" applyBorder="1" applyAlignment="1" applyProtection="1"/>
    <xf numFmtId="0" fontId="51" fillId="0" borderId="60" xfId="0" applyNumberFormat="1" applyFont="1" applyBorder="1" applyAlignment="1" applyProtection="1"/>
    <xf numFmtId="0" fontId="58" fillId="0" borderId="39" xfId="0" applyNumberFormat="1" applyFont="1" applyBorder="1" applyAlignment="1" applyProtection="1"/>
    <xf numFmtId="0" fontId="46" fillId="0" borderId="150" xfId="0" applyNumberFormat="1" applyFont="1" applyBorder="1" applyAlignment="1" applyProtection="1"/>
    <xf numFmtId="0" fontId="49" fillId="0" borderId="36" xfId="0" applyNumberFormat="1" applyFont="1" applyBorder="1" applyAlignment="1" applyProtection="1"/>
    <xf numFmtId="0" fontId="47" fillId="0" borderId="61" xfId="0" applyNumberFormat="1" applyFont="1" applyBorder="1" applyAlignment="1" applyProtection="1"/>
    <xf numFmtId="0" fontId="52" fillId="0" borderId="38" xfId="0" applyNumberFormat="1" applyFont="1" applyBorder="1" applyAlignment="1" applyProtection="1"/>
    <xf numFmtId="0" fontId="41" fillId="0" borderId="63" xfId="0" applyNumberFormat="1" applyFont="1" applyBorder="1" applyAlignment="1" applyProtection="1"/>
    <xf numFmtId="0" fontId="50" fillId="0" borderId="37" xfId="0" applyNumberFormat="1" applyFont="1" applyBorder="1" applyAlignment="1" applyProtection="1"/>
    <xf numFmtId="0" fontId="40" fillId="0" borderId="62" xfId="0" applyNumberFormat="1" applyFont="1" applyBorder="1" applyAlignment="1" applyProtection="1"/>
    <xf numFmtId="0" fontId="53" fillId="0" borderId="40" xfId="0" applyNumberFormat="1" applyFont="1" applyBorder="1" applyAlignment="1" applyProtection="1"/>
    <xf numFmtId="0" fontId="44" fillId="0" borderId="59" xfId="0" applyNumberFormat="1" applyFont="1" applyBorder="1" applyAlignment="1" applyProtection="1"/>
    <xf numFmtId="0" fontId="42" fillId="0" borderId="41" xfId="0" applyNumberFormat="1" applyFont="1" applyBorder="1" applyAlignment="1" applyProtection="1"/>
    <xf numFmtId="0" fontId="61" fillId="0" borderId="58" xfId="0" applyNumberFormat="1" applyFont="1" applyBorder="1" applyAlignment="1" applyProtection="1"/>
    <xf numFmtId="0" fontId="35" fillId="0" borderId="42" xfId="0" applyNumberFormat="1" applyFont="1" applyBorder="1" applyAlignment="1" applyProtection="1"/>
    <xf numFmtId="0" fontId="45" fillId="0" borderId="57" xfId="0" applyNumberFormat="1" applyFont="1" applyBorder="1" applyAlignment="1" applyProtection="1"/>
    <xf numFmtId="0" fontId="1" fillId="0" borderId="43" xfId="0" applyNumberFormat="1" applyFont="1" applyFill="1" applyBorder="1" applyAlignment="1" applyProtection="1"/>
    <xf numFmtId="0" fontId="62" fillId="0" borderId="56" xfId="0" applyNumberFormat="1" applyFont="1" applyBorder="1" applyAlignment="1" applyProtection="1"/>
    <xf numFmtId="0" fontId="55" fillId="0" borderId="44" xfId="0" applyNumberFormat="1" applyFont="1" applyBorder="1" applyAlignment="1" applyProtection="1"/>
    <xf numFmtId="0" fontId="63" fillId="0" borderId="55" xfId="0" applyNumberFormat="1" applyFont="1" applyBorder="1" applyAlignment="1" applyProtection="1"/>
    <xf numFmtId="0" fontId="59" fillId="0" borderId="54" xfId="0" applyNumberFormat="1" applyFont="1" applyBorder="1" applyAlignment="1" applyProtection="1"/>
    <xf numFmtId="0" fontId="60" fillId="0" borderId="53" xfId="0" applyNumberFormat="1" applyFont="1" applyBorder="1" applyAlignment="1" applyProtection="1"/>
    <xf numFmtId="0" fontId="39" fillId="0" borderId="52" xfId="0" applyNumberFormat="1" applyFont="1" applyBorder="1" applyAlignment="1" applyProtection="1"/>
    <xf numFmtId="0" fontId="38" fillId="0" borderId="51" xfId="0" applyNumberFormat="1" applyFont="1" applyBorder="1" applyAlignment="1" applyProtection="1"/>
    <xf numFmtId="0" fontId="77" fillId="0" borderId="64" xfId="0" applyNumberFormat="1" applyFont="1" applyBorder="1" applyAlignment="1" applyProtection="1"/>
    <xf numFmtId="0" fontId="80" fillId="0" borderId="89" xfId="0" applyNumberFormat="1" applyFont="1" applyBorder="1" applyAlignment="1" applyProtection="1"/>
    <xf numFmtId="0" fontId="87" fillId="0" borderId="68" xfId="0" applyNumberFormat="1" applyFont="1" applyBorder="1" applyAlignment="1" applyProtection="1"/>
    <xf numFmtId="0" fontId="75" fillId="0" borderId="150" xfId="0" applyNumberFormat="1" applyFont="1" applyBorder="1" applyAlignment="1" applyProtection="1"/>
    <xf numFmtId="0" fontId="78" fillId="0" borderId="65" xfId="0" applyNumberFormat="1" applyFont="1" applyBorder="1" applyAlignment="1" applyProtection="1"/>
    <xf numFmtId="0" fontId="76" fillId="0" borderId="90" xfId="0" applyNumberFormat="1" applyFont="1" applyBorder="1" applyAlignment="1" applyProtection="1"/>
    <xf numFmtId="0" fontId="81" fillId="0" borderId="67" xfId="0" applyNumberFormat="1" applyFont="1" applyBorder="1" applyAlignment="1" applyProtection="1"/>
    <xf numFmtId="0" fontId="70" fillId="0" borderId="92" xfId="0" applyNumberFormat="1" applyFont="1" applyBorder="1" applyAlignment="1" applyProtection="1"/>
    <xf numFmtId="0" fontId="79" fillId="0" borderId="66" xfId="0" applyNumberFormat="1" applyFont="1" applyBorder="1" applyAlignment="1" applyProtection="1"/>
    <xf numFmtId="0" fontId="69" fillId="0" borderId="91" xfId="0" applyNumberFormat="1" applyFont="1" applyBorder="1" applyAlignment="1" applyProtection="1"/>
    <xf numFmtId="0" fontId="82" fillId="0" borderId="69" xfId="0" applyNumberFormat="1" applyFont="1" applyBorder="1" applyAlignment="1" applyProtection="1"/>
    <xf numFmtId="0" fontId="73" fillId="0" borderId="88" xfId="0" applyNumberFormat="1" applyFont="1" applyBorder="1" applyAlignment="1" applyProtection="1"/>
    <xf numFmtId="0" fontId="71" fillId="0" borderId="70" xfId="0" applyNumberFormat="1" applyFont="1" applyBorder="1" applyAlignment="1" applyProtection="1"/>
    <xf numFmtId="0" fontId="90" fillId="0" borderId="87" xfId="0" applyNumberFormat="1" applyFont="1" applyBorder="1" applyAlignment="1" applyProtection="1"/>
    <xf numFmtId="0" fontId="64" fillId="0" borderId="71" xfId="0" applyNumberFormat="1" applyFont="1" applyBorder="1" applyAlignment="1" applyProtection="1"/>
    <xf numFmtId="0" fontId="74" fillId="0" borderId="86" xfId="0" applyNumberFormat="1" applyFont="1" applyBorder="1" applyAlignment="1" applyProtection="1"/>
    <xf numFmtId="0" fontId="1" fillId="0" borderId="72" xfId="0" applyNumberFormat="1" applyFont="1" applyFill="1" applyBorder="1" applyAlignment="1" applyProtection="1"/>
    <xf numFmtId="0" fontId="91" fillId="0" borderId="85" xfId="0" applyNumberFormat="1" applyFont="1" applyBorder="1" applyAlignment="1" applyProtection="1"/>
    <xf numFmtId="0" fontId="84" fillId="0" borderId="73" xfId="0" applyNumberFormat="1" applyFont="1" applyBorder="1" applyAlignment="1" applyProtection="1"/>
    <xf numFmtId="0" fontId="92" fillId="0" borderId="84" xfId="0" applyNumberFormat="1" applyFont="1" applyBorder="1" applyAlignment="1" applyProtection="1"/>
    <xf numFmtId="0" fontId="88" fillId="0" borderId="83" xfId="0" applyNumberFormat="1" applyFont="1" applyBorder="1" applyAlignment="1" applyProtection="1"/>
    <xf numFmtId="0" fontId="89" fillId="0" borderId="82" xfId="0" applyNumberFormat="1" applyFont="1" applyBorder="1" applyAlignment="1" applyProtection="1"/>
    <xf numFmtId="0" fontId="68" fillId="0" borderId="81" xfId="0" applyNumberFormat="1" applyFont="1" applyBorder="1" applyAlignment="1" applyProtection="1"/>
    <xf numFmtId="0" fontId="67" fillId="0" borderId="80" xfId="0" applyNumberFormat="1" applyFont="1" applyBorder="1" applyAlignment="1" applyProtection="1"/>
    <xf numFmtId="0" fontId="106" fillId="0" borderId="93" xfId="0" applyNumberFormat="1" applyFont="1" applyBorder="1" applyAlignment="1" applyProtection="1"/>
    <xf numFmtId="0" fontId="109" fillId="0" borderId="118" xfId="0" applyNumberFormat="1" applyFont="1" applyBorder="1" applyAlignment="1" applyProtection="1"/>
    <xf numFmtId="0" fontId="116" fillId="0" borderId="97" xfId="0" applyNumberFormat="1" applyFont="1" applyBorder="1" applyAlignment="1" applyProtection="1"/>
    <xf numFmtId="0" fontId="104" fillId="0" borderId="0" xfId="0" applyNumberFormat="1" applyFont="1" applyBorder="1" applyAlignment="1" applyProtection="1"/>
    <xf numFmtId="0" fontId="107" fillId="0" borderId="94" xfId="0" applyNumberFormat="1" applyFont="1" applyBorder="1" applyAlignment="1" applyProtection="1"/>
    <xf numFmtId="0" fontId="105" fillId="0" borderId="119" xfId="0" applyNumberFormat="1" applyFont="1" applyBorder="1" applyAlignment="1" applyProtection="1"/>
    <xf numFmtId="0" fontId="110" fillId="0" borderId="96" xfId="0" applyNumberFormat="1" applyFont="1" applyBorder="1" applyAlignment="1" applyProtection="1"/>
    <xf numFmtId="0" fontId="99" fillId="0" borderId="121" xfId="0" applyNumberFormat="1" applyFont="1" applyBorder="1" applyAlignment="1" applyProtection="1"/>
    <xf numFmtId="0" fontId="108" fillId="0" borderId="95" xfId="0" applyNumberFormat="1" applyFont="1" applyBorder="1" applyAlignment="1" applyProtection="1"/>
    <xf numFmtId="0" fontId="98" fillId="0" borderId="120" xfId="0" applyNumberFormat="1" applyFont="1" applyBorder="1" applyAlignment="1" applyProtection="1"/>
    <xf numFmtId="0" fontId="111" fillId="0" borderId="98" xfId="0" applyNumberFormat="1" applyFont="1" applyBorder="1" applyAlignment="1" applyProtection="1"/>
    <xf numFmtId="0" fontId="102" fillId="0" borderId="117" xfId="0" applyNumberFormat="1" applyFont="1" applyBorder="1" applyAlignment="1" applyProtection="1"/>
    <xf numFmtId="0" fontId="100" fillId="0" borderId="99" xfId="0" applyNumberFormat="1" applyFont="1" applyBorder="1" applyAlignment="1" applyProtection="1"/>
    <xf numFmtId="0" fontId="119" fillId="0" borderId="116" xfId="0" applyNumberFormat="1" applyFont="1" applyBorder="1" applyAlignment="1" applyProtection="1"/>
    <xf numFmtId="0" fontId="93" fillId="0" borderId="100" xfId="0" applyNumberFormat="1" applyFont="1" applyBorder="1" applyAlignment="1" applyProtection="1"/>
    <xf numFmtId="0" fontId="103" fillId="0" borderId="115" xfId="0" applyNumberFormat="1" applyFont="1" applyBorder="1" applyAlignment="1" applyProtection="1"/>
    <xf numFmtId="0" fontId="0" fillId="0" borderId="101" xfId="0" applyBorder="1"/>
    <xf numFmtId="0" fontId="120" fillId="0" borderId="114" xfId="0" applyNumberFormat="1" applyFont="1" applyBorder="1" applyAlignment="1" applyProtection="1"/>
    <xf numFmtId="0" fontId="113" fillId="0" borderId="102" xfId="0" applyNumberFormat="1" applyFont="1" applyBorder="1" applyAlignment="1" applyProtection="1"/>
    <xf numFmtId="0" fontId="121" fillId="0" borderId="113" xfId="0" applyNumberFormat="1" applyFont="1" applyBorder="1" applyAlignment="1" applyProtection="1"/>
    <xf numFmtId="0" fontId="117" fillId="0" borderId="112" xfId="0" applyNumberFormat="1" applyFont="1" applyBorder="1" applyAlignment="1" applyProtection="1"/>
    <xf numFmtId="0" fontId="118" fillId="0" borderId="111" xfId="0" applyNumberFormat="1" applyFont="1" applyBorder="1" applyAlignment="1" applyProtection="1"/>
    <xf numFmtId="0" fontId="97" fillId="0" borderId="110" xfId="0" applyNumberFormat="1" applyFont="1" applyBorder="1" applyAlignment="1" applyProtection="1"/>
    <xf numFmtId="0" fontId="96" fillId="0" borderId="109" xfId="0" applyNumberFormat="1" applyFont="1" applyBorder="1" applyAlignment="1" applyProtection="1"/>
    <xf numFmtId="0" fontId="134" fillId="0" borderId="122" xfId="0" applyNumberFormat="1" applyFont="1" applyBorder="1" applyAlignment="1" applyProtection="1"/>
    <xf numFmtId="0" fontId="137" fillId="0" borderId="147" xfId="0" applyNumberFormat="1" applyFont="1" applyBorder="1" applyAlignment="1" applyProtection="1"/>
    <xf numFmtId="0" fontId="144" fillId="0" borderId="126" xfId="0" applyNumberFormat="1" applyFont="1" applyBorder="1" applyAlignment="1" applyProtection="1"/>
    <xf numFmtId="0" fontId="132" fillId="0" borderId="0" xfId="0" applyNumberFormat="1" applyFont="1" applyBorder="1" applyAlignment="1" applyProtection="1"/>
    <xf numFmtId="0" fontId="135" fillId="0" borderId="123" xfId="0" applyNumberFormat="1" applyFont="1" applyBorder="1" applyAlignment="1" applyProtection="1"/>
    <xf numFmtId="0" fontId="133" fillId="0" borderId="148" xfId="0" applyNumberFormat="1" applyFont="1" applyBorder="1" applyAlignment="1" applyProtection="1"/>
    <xf numFmtId="0" fontId="138" fillId="0" borderId="125" xfId="0" applyNumberFormat="1" applyFont="1" applyBorder="1" applyAlignment="1" applyProtection="1"/>
    <xf numFmtId="0" fontId="127" fillId="0" borderId="150" xfId="0" applyNumberFormat="1" applyFont="1" applyBorder="1" applyAlignment="1" applyProtection="1"/>
    <xf numFmtId="0" fontId="136" fillId="0" borderId="124" xfId="0" applyNumberFormat="1" applyFont="1" applyBorder="1" applyAlignment="1" applyProtection="1"/>
    <xf numFmtId="0" fontId="126" fillId="0" borderId="149" xfId="0" applyNumberFormat="1" applyFont="1" applyBorder="1" applyAlignment="1" applyProtection="1"/>
    <xf numFmtId="0" fontId="139" fillId="0" borderId="127" xfId="0" applyNumberFormat="1" applyFont="1" applyBorder="1" applyAlignment="1" applyProtection="1"/>
    <xf numFmtId="0" fontId="130" fillId="0" borderId="146" xfId="0" applyNumberFormat="1" applyFont="1" applyBorder="1" applyAlignment="1" applyProtection="1"/>
    <xf numFmtId="0" fontId="128" fillId="0" borderId="128" xfId="0" applyNumberFormat="1" applyFont="1" applyBorder="1" applyAlignment="1" applyProtection="1"/>
    <xf numFmtId="0" fontId="147" fillId="0" borderId="145" xfId="0" applyNumberFormat="1" applyFont="1" applyBorder="1" applyAlignment="1" applyProtection="1"/>
    <xf numFmtId="0" fontId="0" fillId="0" borderId="129" xfId="0" applyNumberFormat="1" applyFont="1" applyBorder="1" applyAlignment="1" applyProtection="1"/>
    <xf numFmtId="0" fontId="131" fillId="0" borderId="144" xfId="0" applyNumberFormat="1" applyFont="1" applyBorder="1" applyAlignment="1" applyProtection="1"/>
    <xf numFmtId="0" fontId="0" fillId="0" borderId="130" xfId="0" applyBorder="1"/>
    <xf numFmtId="0" fontId="148" fillId="0" borderId="143" xfId="0" applyNumberFormat="1" applyFont="1" applyBorder="1" applyAlignment="1" applyProtection="1"/>
    <xf numFmtId="0" fontId="141" fillId="0" borderId="131" xfId="0" applyNumberFormat="1" applyFont="1" applyBorder="1" applyAlignment="1" applyProtection="1"/>
    <xf numFmtId="0" fontId="149" fillId="0" borderId="142" xfId="0" applyNumberFormat="1" applyFont="1" applyBorder="1" applyAlignment="1" applyProtection="1"/>
    <xf numFmtId="0" fontId="145" fillId="0" borderId="141" xfId="0" applyNumberFormat="1" applyFont="1" applyBorder="1" applyAlignment="1" applyProtection="1"/>
    <xf numFmtId="0" fontId="146" fillId="0" borderId="140" xfId="0" applyNumberFormat="1" applyFont="1" applyBorder="1" applyAlignment="1" applyProtection="1"/>
    <xf numFmtId="0" fontId="125" fillId="0" borderId="139" xfId="0" applyNumberFormat="1" applyFont="1" applyBorder="1" applyAlignment="1" applyProtection="1"/>
    <xf numFmtId="0" fontId="124" fillId="0" borderId="138" xfId="0" applyNumberFormat="1" applyFont="1" applyBorder="1" applyAlignment="1" applyProtection="1"/>
    <xf numFmtId="0" fontId="1" fillId="0" borderId="0" xfId="0" applyNumberFormat="1" applyFont="1" applyAlignment="1" applyProtection="1"/>
    <xf numFmtId="0" fontId="0" fillId="0" borderId="0" xfId="0" applyNumberFormat="1"/>
    <xf numFmtId="0" fontId="0" fillId="0" borderId="0" xfId="0" applyAlignment="1">
      <alignment wrapText="1"/>
    </xf>
    <xf numFmtId="0" fontId="24" fillId="0" borderId="11" xfId="0" applyNumberFormat="1" applyFont="1" applyBorder="1" applyAlignment="1" applyProtection="1">
      <alignment horizontal="center"/>
    </xf>
    <xf numFmtId="0" fontId="13" fillId="0" borderId="12" xfId="0" applyNumberFormat="1" applyFont="1" applyBorder="1" applyAlignment="1" applyProtection="1">
      <alignment horizontal="center"/>
    </xf>
    <xf numFmtId="0" fontId="6" fillId="0" borderId="13" xfId="0" applyNumberFormat="1" applyFont="1" applyBorder="1" applyAlignment="1" applyProtection="1">
      <alignment horizontal="center"/>
    </xf>
    <xf numFmtId="0" fontId="0" fillId="0" borderId="14" xfId="0" applyBorder="1" applyAlignment="1">
      <alignment horizontal="center"/>
    </xf>
    <xf numFmtId="0" fontId="26" fillId="0" borderId="15" xfId="0" applyNumberFormat="1" applyFont="1" applyBorder="1" applyAlignment="1" applyProtection="1">
      <alignment horizontal="center"/>
    </xf>
    <xf numFmtId="0" fontId="9" fillId="0" borderId="22" xfId="0" applyNumberFormat="1" applyFont="1" applyBorder="1" applyAlignment="1" applyProtection="1">
      <alignment horizontal="center"/>
    </xf>
    <xf numFmtId="0" fontId="10" fillId="0" borderId="23" xfId="0" applyNumberFormat="1" applyFont="1" applyBorder="1" applyAlignment="1" applyProtection="1">
      <alignment horizontal="center"/>
    </xf>
    <xf numFmtId="0" fontId="31" fillId="0" borderId="24" xfId="0" applyNumberFormat="1" applyFont="1" applyBorder="1" applyAlignment="1" applyProtection="1">
      <alignment horizontal="center"/>
    </xf>
    <xf numFmtId="0" fontId="30" fillId="0" borderId="25" xfId="0" applyNumberFormat="1" applyFont="1" applyBorder="1" applyAlignment="1" applyProtection="1">
      <alignment horizontal="center"/>
    </xf>
    <xf numFmtId="0" fontId="34" fillId="0" borderId="26" xfId="0" applyNumberFormat="1" applyFont="1" applyBorder="1" applyAlignment="1" applyProtection="1">
      <alignment horizontal="center"/>
    </xf>
    <xf numFmtId="0" fontId="33" fillId="0" borderId="27" xfId="0" applyNumberFormat="1" applyFont="1" applyBorder="1" applyAlignment="1" applyProtection="1">
      <alignment horizontal="center"/>
    </xf>
    <xf numFmtId="0" fontId="16" fillId="0" borderId="28" xfId="0" applyNumberFormat="1" applyFont="1" applyBorder="1" applyAlignment="1" applyProtection="1">
      <alignment horizontal="center"/>
    </xf>
    <xf numFmtId="0" fontId="32" fillId="0" borderId="29" xfId="0" applyNumberFormat="1" applyFont="1" applyBorder="1" applyAlignment="1" applyProtection="1">
      <alignment horizontal="center"/>
    </xf>
    <xf numFmtId="0" fontId="15" fillId="0" borderId="30" xfId="0" applyNumberFormat="1" applyFont="1" applyBorder="1" applyAlignment="1" applyProtection="1">
      <alignment horizontal="center"/>
    </xf>
    <xf numFmtId="0" fontId="22" fillId="0" borderId="31" xfId="0" applyNumberFormat="1" applyFont="1" applyBorder="1" applyAlignment="1" applyProtection="1">
      <alignment horizontal="center"/>
    </xf>
    <xf numFmtId="0" fontId="18" fillId="0" borderId="32" xfId="0" applyNumberFormat="1" applyFont="1" applyBorder="1" applyAlignment="1" applyProtection="1">
      <alignment horizontal="center"/>
    </xf>
    <xf numFmtId="0" fontId="11" fillId="0" borderId="33" xfId="0" applyNumberFormat="1" applyFont="1" applyBorder="1" applyAlignment="1" applyProtection="1">
      <alignment horizontal="center"/>
    </xf>
    <xf numFmtId="0" fontId="12" fillId="0" borderId="34" xfId="0" applyNumberFormat="1" applyFont="1" applyBorder="1" applyAlignment="1" applyProtection="1">
      <alignment horizontal="center"/>
    </xf>
    <xf numFmtId="0" fontId="17" fillId="0" borderId="0" xfId="0" applyNumberFormat="1" applyFont="1" applyBorder="1" applyAlignment="1" applyProtection="1">
      <alignment horizontal="center"/>
    </xf>
    <xf numFmtId="0" fontId="19" fillId="0" borderId="6" xfId="0" applyNumberFormat="1" applyFont="1" applyBorder="1" applyAlignment="1" applyProtection="1">
      <alignment horizontal="center"/>
    </xf>
    <xf numFmtId="0" fontId="20" fillId="0" borderId="7" xfId="0" applyNumberFormat="1" applyFont="1" applyBorder="1" applyAlignment="1" applyProtection="1">
      <alignment horizontal="center"/>
    </xf>
    <xf numFmtId="0" fontId="21" fillId="0" borderId="8" xfId="0" applyNumberFormat="1" applyFont="1" applyBorder="1" applyAlignment="1" applyProtection="1">
      <alignment horizontal="center"/>
    </xf>
    <xf numFmtId="0" fontId="23" fillId="0" borderId="9" xfId="0" applyNumberFormat="1" applyFont="1" applyBorder="1" applyAlignment="1" applyProtection="1">
      <alignment horizontal="center"/>
    </xf>
    <xf numFmtId="0" fontId="29" fillId="0" borderId="10" xfId="0" applyNumberFormat="1" applyFont="1" applyBorder="1" applyAlignment="1" applyProtection="1">
      <alignment horizontal="center"/>
    </xf>
    <xf numFmtId="0" fontId="27" fillId="0" borderId="21" xfId="0" applyNumberFormat="1" applyFont="1" applyBorder="1" applyAlignment="1" applyProtection="1">
      <alignment horizontal="center"/>
    </xf>
    <xf numFmtId="0" fontId="37" fillId="0" borderId="46" xfId="0" applyNumberFormat="1" applyFont="1" applyBorder="1" applyAlignment="1" applyProtection="1"/>
    <xf numFmtId="0" fontId="54" fillId="0" borderId="45" xfId="0" applyNumberFormat="1" applyFont="1" applyBorder="1" applyAlignment="1" applyProtection="1"/>
    <xf numFmtId="0" fontId="36" fillId="0" borderId="48" xfId="0" applyNumberFormat="1" applyFont="1" applyBorder="1" applyAlignment="1" applyProtection="1"/>
    <xf numFmtId="0" fontId="43" fillId="0" borderId="47" xfId="0" applyNumberFormat="1" applyFont="1" applyBorder="1" applyAlignment="1" applyProtection="1"/>
    <xf numFmtId="0" fontId="66" fillId="0" borderId="75" xfId="0" applyNumberFormat="1" applyFont="1" applyBorder="1" applyAlignment="1" applyProtection="1"/>
    <xf numFmtId="0" fontId="83" fillId="0" borderId="74" xfId="0" applyNumberFormat="1" applyFont="1" applyBorder="1" applyAlignment="1" applyProtection="1"/>
    <xf numFmtId="0" fontId="65" fillId="0" borderId="77" xfId="0" applyNumberFormat="1" applyFont="1" applyBorder="1" applyAlignment="1" applyProtection="1"/>
    <xf numFmtId="0" fontId="72" fillId="0" borderId="76" xfId="0" applyNumberFormat="1" applyFont="1" applyBorder="1" applyAlignment="1" applyProtection="1"/>
    <xf numFmtId="0" fontId="95" fillId="0" borderId="104" xfId="0" applyNumberFormat="1" applyFont="1" applyBorder="1" applyAlignment="1" applyProtection="1"/>
    <xf numFmtId="0" fontId="112" fillId="0" borderId="103" xfId="0" applyNumberFormat="1" applyFont="1" applyBorder="1" applyAlignment="1" applyProtection="1"/>
    <xf numFmtId="0" fontId="94" fillId="0" borderId="106" xfId="0" applyNumberFormat="1" applyFont="1" applyBorder="1" applyAlignment="1" applyProtection="1"/>
    <xf numFmtId="0" fontId="101" fillId="0" borderId="105" xfId="0" applyNumberFormat="1" applyFont="1" applyBorder="1" applyAlignment="1" applyProtection="1"/>
    <xf numFmtId="0" fontId="123" fillId="0" borderId="133" xfId="0" applyNumberFormat="1" applyFont="1" applyBorder="1" applyAlignment="1" applyProtection="1"/>
    <xf numFmtId="0" fontId="140" fillId="0" borderId="132" xfId="0" applyNumberFormat="1" applyFont="1" applyBorder="1" applyAlignment="1" applyProtection="1"/>
    <xf numFmtId="0" fontId="122" fillId="0" borderId="135" xfId="0" applyNumberFormat="1" applyFont="1" applyBorder="1" applyAlignment="1" applyProtection="1"/>
    <xf numFmtId="0" fontId="129" fillId="0" borderId="134" xfId="0" applyNumberFormat="1" applyFont="1" applyBorder="1" applyAlignment="1" applyProtection="1"/>
    <xf numFmtId="0" fontId="25" fillId="0" borderId="16" xfId="0" applyNumberFormat="1" applyFont="1" applyBorder="1" applyAlignment="1" applyProtection="1">
      <alignment horizontal="center"/>
    </xf>
    <xf numFmtId="0" fontId="8" fillId="0" borderId="17" xfId="0" applyNumberFormat="1" applyFont="1" applyBorder="1" applyAlignment="1" applyProtection="1">
      <alignment horizontal="center"/>
    </xf>
    <xf numFmtId="0" fontId="14" fillId="0" borderId="18" xfId="0" applyNumberFormat="1" applyFont="1" applyBorder="1" applyAlignment="1" applyProtection="1">
      <alignment horizontal="center"/>
    </xf>
    <xf numFmtId="0" fontId="7" fillId="0" borderId="19" xfId="0" applyNumberFormat="1" applyFont="1" applyBorder="1" applyAlignment="1" applyProtection="1">
      <alignment horizontal="center"/>
    </xf>
    <xf numFmtId="0" fontId="28" fillId="0" borderId="20" xfId="0" applyNumberFormat="1" applyFont="1" applyBorder="1" applyAlignment="1" applyProtection="1">
      <alignment horizontal="center"/>
    </xf>
    <xf numFmtId="0" fontId="1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F3DC6-B927-47B8-B57F-976F8F0C6013}" name="Table1" displayName="Table1" ref="A1:G32" totalsRowCount="1" headerRowDxfId="15" dataDxfId="14">
  <autoFilter ref="A1:G31" xr:uid="{5B596C7A-0AB9-4010-84B9-8EC211E00A52}"/>
  <sortState xmlns:xlrd2="http://schemas.microsoft.com/office/spreadsheetml/2017/richdata2" ref="A2:G31">
    <sortCondition descending="1" ref="G1:G31"/>
  </sortState>
  <tableColumns count="7">
    <tableColumn id="1" xr3:uid="{0958C6F0-FC47-4CE8-B3E4-5B603249DFDF}" name="ITEM" dataDxfId="13" totalsRowDxfId="6"/>
    <tableColumn id="2" xr3:uid="{838A83BE-5AA3-4F82-BABF-D6CDB3334107}" name="QTY" dataDxfId="12" totalsRowDxfId="5"/>
    <tableColumn id="3" xr3:uid="{B4B3B0AA-F88D-468A-8B20-B16065DA5108}" name="PART NUMBER" dataDxfId="11" totalsRowDxfId="4"/>
    <tableColumn id="4" xr3:uid="{F3F1BB3E-9466-4D4C-8BD0-BB6F20861367}" name="DESCRIPTION" dataDxfId="10" totalsRowDxfId="3"/>
    <tableColumn id="5" xr3:uid="{307961DB-30B1-4741-9392-D0FDE88E614F}" name="MASS" dataDxfId="9" totalsRowDxfId="2"/>
    <tableColumn id="6" xr3:uid="{A83C4D68-6A22-4F75-99A6-EAAD9DF12050}" name="Total Mass" totalsRowFunction="custom" dataDxfId="8" totalsRowDxfId="1">
      <calculatedColumnFormula>(B2*E2)</calculatedColumnFormula>
      <totalsRowFormula>SUM(F7:F31)</totalsRowFormula>
    </tableColumn>
    <tableColumn id="7" xr3:uid="{C48D7939-A2B9-4CEB-9EC7-DD70CC918CA7}" name="Percent" dataDxfId="7" totalsRowDxfId="0" dataCellStyle="Percent" totalsRowCellStyle="Percent">
      <calculatedColumnFormula>(B2*E2)/250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7" workbookViewId="0">
      <selection activeCell="I32" sqref="I32"/>
    </sheetView>
  </sheetViews>
  <sheetFormatPr defaultRowHeight="15"/>
  <cols>
    <col min="3" max="3" width="34.7109375" bestFit="1" customWidth="1"/>
    <col min="4" max="4" width="57.7109375" bestFit="1" customWidth="1"/>
    <col min="5" max="5" width="8.5703125" bestFit="1" customWidth="1"/>
    <col min="6" max="7" width="11" customWidth="1"/>
    <col min="9" max="9" width="55.5703125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0" t="s">
        <v>74</v>
      </c>
      <c r="G1" s="10" t="s">
        <v>73</v>
      </c>
    </row>
    <row r="2" spans="1:7">
      <c r="A2" s="137" t="s">
        <v>18</v>
      </c>
      <c r="B2" s="19">
        <v>3</v>
      </c>
      <c r="C2" s="43" t="s">
        <v>47</v>
      </c>
      <c r="D2" s="67" t="s">
        <v>63</v>
      </c>
      <c r="E2" s="91" t="s">
        <v>70</v>
      </c>
      <c r="F2" t="e">
        <f>(B2*E2)</f>
        <v>#VALUE!</v>
      </c>
      <c r="G2" s="6" t="e">
        <f>(B2*E2)/250</f>
        <v>#VALUE!</v>
      </c>
    </row>
    <row r="3" spans="1:7">
      <c r="A3" s="138" t="s">
        <v>19</v>
      </c>
      <c r="B3" s="23">
        <v>3</v>
      </c>
      <c r="C3" s="47" t="s">
        <v>48</v>
      </c>
      <c r="D3" s="71" t="s">
        <v>63</v>
      </c>
      <c r="E3" s="95" t="s">
        <v>70</v>
      </c>
      <c r="F3" t="e">
        <f>(B3*E3)</f>
        <v>#VALUE!</v>
      </c>
      <c r="G3" s="6" t="e">
        <f>(B3*E3)/250</f>
        <v>#VALUE!</v>
      </c>
    </row>
    <row r="4" spans="1:7">
      <c r="A4" s="139" t="s">
        <v>20</v>
      </c>
      <c r="B4" s="27">
        <v>3</v>
      </c>
      <c r="C4" s="51" t="s">
        <v>49</v>
      </c>
      <c r="D4" s="75" t="s">
        <v>63</v>
      </c>
      <c r="E4" s="99" t="s">
        <v>70</v>
      </c>
      <c r="F4" t="e">
        <f>(B4*E4)</f>
        <v>#VALUE!</v>
      </c>
      <c r="G4" s="6" t="e">
        <f>(B4*E4)/250</f>
        <v>#VALUE!</v>
      </c>
    </row>
    <row r="5" spans="1:7">
      <c r="A5" s="140" t="s">
        <v>22</v>
      </c>
      <c r="B5" s="25">
        <v>2</v>
      </c>
      <c r="C5" s="49" t="s">
        <v>51</v>
      </c>
      <c r="D5" s="73" t="s">
        <v>63</v>
      </c>
      <c r="E5" s="97" t="s">
        <v>70</v>
      </c>
      <c r="F5" t="e">
        <f>(B5*E5)</f>
        <v>#VALUE!</v>
      </c>
      <c r="G5" s="6" t="e">
        <f>(B5*E5)/250</f>
        <v>#VALUE!</v>
      </c>
    </row>
    <row r="6" spans="1:7">
      <c r="A6" s="141" t="s">
        <v>28</v>
      </c>
      <c r="B6" s="21">
        <v>2</v>
      </c>
      <c r="C6" s="45" t="s">
        <v>57</v>
      </c>
      <c r="D6" s="69" t="s">
        <v>68</v>
      </c>
      <c r="E6" s="93" t="s">
        <v>71</v>
      </c>
      <c r="F6" t="e">
        <f>(B6*E6)</f>
        <v>#VALUE!</v>
      </c>
      <c r="G6" s="6" t="e">
        <f>(B6*E6)/250</f>
        <v>#VALUE!</v>
      </c>
    </row>
    <row r="7" spans="1:7">
      <c r="A7" s="118" t="s">
        <v>23</v>
      </c>
      <c r="B7" s="29">
        <v>1</v>
      </c>
      <c r="C7" s="53" t="s">
        <v>52</v>
      </c>
      <c r="D7" s="77" t="s">
        <v>63</v>
      </c>
      <c r="E7" s="101">
        <v>74.543000000000006</v>
      </c>
      <c r="F7">
        <f>(B7*E7)</f>
        <v>74.543000000000006</v>
      </c>
      <c r="G7" s="8">
        <f>(B7*E7)/250</f>
        <v>0.29817200000000005</v>
      </c>
    </row>
    <row r="8" spans="1:7">
      <c r="A8" s="119" t="s">
        <v>12</v>
      </c>
      <c r="B8" s="31">
        <v>4</v>
      </c>
      <c r="C8" s="55" t="s">
        <v>41</v>
      </c>
      <c r="D8" s="79" t="s">
        <v>63</v>
      </c>
      <c r="E8" s="103">
        <v>6.8</v>
      </c>
      <c r="F8">
        <f>(B8*E8)</f>
        <v>27.2</v>
      </c>
      <c r="G8" s="6">
        <f>(B8*E8)/250</f>
        <v>0.10879999999999999</v>
      </c>
    </row>
    <row r="9" spans="1:7">
      <c r="A9" s="120" t="s">
        <v>5</v>
      </c>
      <c r="B9" s="33">
        <v>2</v>
      </c>
      <c r="C9" s="57" t="s">
        <v>34</v>
      </c>
      <c r="D9" s="81" t="s">
        <v>63</v>
      </c>
      <c r="E9" s="105">
        <v>12.996</v>
      </c>
      <c r="F9">
        <f>(B9*E9)</f>
        <v>25.992000000000001</v>
      </c>
      <c r="G9" s="8">
        <f>(B9*E9)/250</f>
        <v>0.103968</v>
      </c>
    </row>
    <row r="10" spans="1:7">
      <c r="A10" s="121">
        <v>30</v>
      </c>
      <c r="B10" s="35">
        <v>2</v>
      </c>
      <c r="C10" s="59" t="s">
        <v>72</v>
      </c>
      <c r="D10" s="83"/>
      <c r="E10" s="107">
        <v>7.6269999999999998</v>
      </c>
      <c r="F10">
        <f>(B10*E10)</f>
        <v>15.254</v>
      </c>
      <c r="G10" s="7">
        <f>(B10*E10)/250</f>
        <v>6.1016000000000001E-2</v>
      </c>
    </row>
    <row r="11" spans="1:7">
      <c r="A11" s="122" t="s">
        <v>25</v>
      </c>
      <c r="B11" s="37">
        <v>2</v>
      </c>
      <c r="C11" s="61" t="s">
        <v>54</v>
      </c>
      <c r="D11" s="85" t="s">
        <v>63</v>
      </c>
      <c r="E11" s="109">
        <v>8.3510000000000009</v>
      </c>
      <c r="F11">
        <f>(B11*E11)</f>
        <v>16.702000000000002</v>
      </c>
      <c r="G11" s="7">
        <f>(B11*E11)/250</f>
        <v>6.6808000000000006E-2</v>
      </c>
    </row>
    <row r="12" spans="1:7">
      <c r="A12" s="159" t="s">
        <v>24</v>
      </c>
      <c r="B12" s="144">
        <v>2</v>
      </c>
      <c r="C12" s="148" t="s">
        <v>53</v>
      </c>
      <c r="D12" s="152" t="s">
        <v>63</v>
      </c>
      <c r="E12" s="156">
        <v>7.0289999999999999</v>
      </c>
      <c r="F12">
        <f>(B12*E12)</f>
        <v>14.058</v>
      </c>
      <c r="G12" s="7">
        <f>(B12*E12)/250</f>
        <v>5.6231999999999997E-2</v>
      </c>
    </row>
    <row r="13" spans="1:7">
      <c r="A13" s="160" t="s">
        <v>7</v>
      </c>
      <c r="B13" s="143">
        <v>1</v>
      </c>
      <c r="C13" s="147" t="s">
        <v>36</v>
      </c>
      <c r="D13" s="151" t="s">
        <v>63</v>
      </c>
      <c r="E13" s="155">
        <v>10.609</v>
      </c>
      <c r="F13">
        <f>(B13*E13)</f>
        <v>10.609</v>
      </c>
      <c r="G13" s="7">
        <f>(B13*E13)/250</f>
        <v>4.2436000000000001E-2</v>
      </c>
    </row>
    <row r="14" spans="1:7">
      <c r="A14" s="161" t="s">
        <v>13</v>
      </c>
      <c r="B14" s="146">
        <v>2</v>
      </c>
      <c r="C14" s="150" t="s">
        <v>42</v>
      </c>
      <c r="D14" s="154" t="s">
        <v>63</v>
      </c>
      <c r="E14" s="158">
        <v>5.09</v>
      </c>
      <c r="F14">
        <f>(B14*E14)</f>
        <v>10.18</v>
      </c>
      <c r="G14" s="6">
        <f>(B14*E14)/250</f>
        <v>4.0719999999999999E-2</v>
      </c>
    </row>
    <row r="15" spans="1:7">
      <c r="A15" s="162" t="s">
        <v>6</v>
      </c>
      <c r="B15" s="145">
        <v>4</v>
      </c>
      <c r="C15" s="149" t="s">
        <v>35</v>
      </c>
      <c r="D15" s="153" t="s">
        <v>63</v>
      </c>
      <c r="E15" s="157">
        <v>2.4569999999999999</v>
      </c>
      <c r="F15">
        <f>(B15*E15)</f>
        <v>9.8279999999999994</v>
      </c>
      <c r="G15" s="7">
        <f>(B15*E15)/250</f>
        <v>3.9312E-2</v>
      </c>
    </row>
    <row r="16" spans="1:7">
      <c r="A16" s="163" t="s">
        <v>27</v>
      </c>
      <c r="B16" s="12">
        <v>1</v>
      </c>
      <c r="C16" s="14" t="s">
        <v>56</v>
      </c>
      <c r="D16" s="16" t="s">
        <v>63</v>
      </c>
      <c r="E16" s="18">
        <v>4.9530000000000003</v>
      </c>
      <c r="F16">
        <f>(B16*E16)</f>
        <v>4.9530000000000003</v>
      </c>
      <c r="G16" s="9">
        <f>(B16*E16)/250</f>
        <v>1.9812E-2</v>
      </c>
    </row>
    <row r="17" spans="1:9">
      <c r="A17" s="142" t="s">
        <v>26</v>
      </c>
      <c r="B17" s="11">
        <v>2</v>
      </c>
      <c r="C17" s="13" t="s">
        <v>55</v>
      </c>
      <c r="D17" s="15" t="s">
        <v>63</v>
      </c>
      <c r="E17" s="17">
        <v>2.0179999999999998</v>
      </c>
      <c r="F17">
        <f>(B17*E17)</f>
        <v>4.0359999999999996</v>
      </c>
      <c r="G17" s="9">
        <f>(B17*E17)/250</f>
        <v>1.6143999999999999E-2</v>
      </c>
    </row>
    <row r="18" spans="1:9">
      <c r="A18" s="123" t="s">
        <v>8</v>
      </c>
      <c r="B18" s="42">
        <v>4</v>
      </c>
      <c r="C18" s="66" t="s">
        <v>37</v>
      </c>
      <c r="D18" s="90" t="s">
        <v>63</v>
      </c>
      <c r="E18" s="114">
        <v>0.84099999999999997</v>
      </c>
      <c r="F18">
        <f>(B18*E18)</f>
        <v>3.3639999999999999</v>
      </c>
      <c r="G18" s="6">
        <f>(B18*E18)/250</f>
        <v>1.3455999999999999E-2</v>
      </c>
    </row>
    <row r="19" spans="1:9">
      <c r="A19" s="124" t="s">
        <v>9</v>
      </c>
      <c r="B19" s="41">
        <v>2</v>
      </c>
      <c r="C19" s="65" t="s">
        <v>38</v>
      </c>
      <c r="D19" s="89" t="s">
        <v>63</v>
      </c>
      <c r="E19" s="113">
        <v>1.6120000000000001</v>
      </c>
      <c r="F19">
        <f>(B19*E19)</f>
        <v>3.2240000000000002</v>
      </c>
      <c r="G19" s="6">
        <f>(B19*E19)/250</f>
        <v>1.2896000000000001E-2</v>
      </c>
    </row>
    <row r="20" spans="1:9">
      <c r="A20" s="125" t="s">
        <v>30</v>
      </c>
      <c r="B20" s="40">
        <v>32</v>
      </c>
      <c r="C20" s="64" t="s">
        <v>59</v>
      </c>
      <c r="D20" s="88" t="s">
        <v>65</v>
      </c>
      <c r="E20" s="112">
        <v>6.5000000000000002E-2</v>
      </c>
      <c r="F20">
        <f>(B20*E20)</f>
        <v>2.08</v>
      </c>
      <c r="G20" s="6">
        <f>(B20*E20)/250</f>
        <v>8.320000000000001E-3</v>
      </c>
    </row>
    <row r="21" spans="1:9">
      <c r="A21" s="126" t="s">
        <v>29</v>
      </c>
      <c r="B21" s="39">
        <v>2</v>
      </c>
      <c r="C21" s="63" t="s">
        <v>58</v>
      </c>
      <c r="D21" s="87" t="s">
        <v>63</v>
      </c>
      <c r="E21" s="111">
        <v>0.90400000000000003</v>
      </c>
      <c r="F21">
        <f>(B21*E21)</f>
        <v>1.8080000000000001</v>
      </c>
      <c r="G21" s="6">
        <f>(B21*E21)/250</f>
        <v>7.2320000000000006E-3</v>
      </c>
    </row>
    <row r="22" spans="1:9">
      <c r="A22" s="127" t="s">
        <v>33</v>
      </c>
      <c r="B22" s="38">
        <v>14</v>
      </c>
      <c r="C22" s="62" t="s">
        <v>62</v>
      </c>
      <c r="D22" s="86" t="s">
        <v>65</v>
      </c>
      <c r="E22" s="110">
        <v>9.7000000000000003E-2</v>
      </c>
      <c r="F22">
        <f>(B22*E22)</f>
        <v>1.3580000000000001</v>
      </c>
      <c r="G22" s="6">
        <f>(B22*E22)/250</f>
        <v>5.4320000000000002E-3</v>
      </c>
    </row>
    <row r="23" spans="1:9">
      <c r="A23" s="128" t="s">
        <v>32</v>
      </c>
      <c r="B23" s="36">
        <v>16</v>
      </c>
      <c r="C23" s="60" t="s">
        <v>61</v>
      </c>
      <c r="D23" s="84" t="s">
        <v>65</v>
      </c>
      <c r="E23" s="108">
        <v>8.1000000000000003E-2</v>
      </c>
      <c r="F23">
        <f>(B23*E23)</f>
        <v>1.296</v>
      </c>
      <c r="G23" s="6">
        <f>(B23*E23)/250</f>
        <v>5.1840000000000002E-3</v>
      </c>
    </row>
    <row r="24" spans="1:9">
      <c r="A24" s="129" t="s">
        <v>15</v>
      </c>
      <c r="B24" s="34">
        <v>38</v>
      </c>
      <c r="C24" s="58" t="s">
        <v>44</v>
      </c>
      <c r="D24" s="82" t="s">
        <v>65</v>
      </c>
      <c r="E24" s="106">
        <v>1.9E-2</v>
      </c>
      <c r="F24">
        <f>(B24*E24)</f>
        <v>0.72199999999999998</v>
      </c>
      <c r="G24" s="6">
        <f>(B24*E24)/250</f>
        <v>2.8879999999999999E-3</v>
      </c>
    </row>
    <row r="25" spans="1:9">
      <c r="A25" s="130" t="s">
        <v>31</v>
      </c>
      <c r="B25" s="32">
        <v>32</v>
      </c>
      <c r="C25" s="56" t="s">
        <v>60</v>
      </c>
      <c r="D25" s="80" t="s">
        <v>69</v>
      </c>
      <c r="E25" s="104">
        <v>1.7999999999999999E-2</v>
      </c>
      <c r="F25">
        <f>(B25*E25)</f>
        <v>0.57599999999999996</v>
      </c>
      <c r="G25" s="6">
        <f>(B25*E25)/250</f>
        <v>2.3039999999999996E-3</v>
      </c>
    </row>
    <row r="26" spans="1:9">
      <c r="A26" s="131" t="s">
        <v>14</v>
      </c>
      <c r="B26" s="30">
        <v>8</v>
      </c>
      <c r="C26" s="54" t="s">
        <v>43</v>
      </c>
      <c r="D26" s="78" t="s">
        <v>65</v>
      </c>
      <c r="E26" s="102">
        <v>5.8000000000000003E-2</v>
      </c>
      <c r="F26">
        <f>(B26*E26)</f>
        <v>0.46400000000000002</v>
      </c>
      <c r="G26" s="6">
        <f>(B26*E26)/250</f>
        <v>1.856E-3</v>
      </c>
    </row>
    <row r="27" spans="1:9">
      <c r="A27" s="132" t="s">
        <v>21</v>
      </c>
      <c r="B27" s="20">
        <v>2</v>
      </c>
      <c r="C27" s="44" t="s">
        <v>50</v>
      </c>
      <c r="D27" s="68" t="s">
        <v>67</v>
      </c>
      <c r="E27" s="92">
        <v>0.21786</v>
      </c>
      <c r="F27">
        <f>(B27*E27)</f>
        <v>0.43572</v>
      </c>
      <c r="G27" s="6">
        <f>(B27*E27)/250</f>
        <v>1.74288E-3</v>
      </c>
    </row>
    <row r="28" spans="1:9">
      <c r="A28" s="133" t="s">
        <v>17</v>
      </c>
      <c r="B28" s="24">
        <v>8</v>
      </c>
      <c r="C28" s="48" t="s">
        <v>46</v>
      </c>
      <c r="D28" s="72" t="s">
        <v>66</v>
      </c>
      <c r="E28" s="96">
        <v>0.05</v>
      </c>
      <c r="F28">
        <f>(B28*E28)</f>
        <v>0.4</v>
      </c>
      <c r="G28" s="6">
        <f>(B28*E28)/250</f>
        <v>1.6000000000000001E-3</v>
      </c>
    </row>
    <row r="29" spans="1:9">
      <c r="A29" s="134" t="s">
        <v>10</v>
      </c>
      <c r="B29" s="28">
        <v>2</v>
      </c>
      <c r="C29" s="52" t="s">
        <v>39</v>
      </c>
      <c r="D29" s="76" t="s">
        <v>64</v>
      </c>
      <c r="E29" s="100">
        <v>0.18</v>
      </c>
      <c r="F29">
        <f>(B29*E29)</f>
        <v>0.36</v>
      </c>
      <c r="G29" s="6">
        <f>(B29*E29)/250</f>
        <v>1.4399999999999999E-3</v>
      </c>
    </row>
    <row r="30" spans="1:9">
      <c r="A30" s="135" t="s">
        <v>11</v>
      </c>
      <c r="B30" s="26">
        <v>2</v>
      </c>
      <c r="C30" s="50" t="s">
        <v>40</v>
      </c>
      <c r="D30" s="74" t="s">
        <v>63</v>
      </c>
      <c r="E30" s="98">
        <v>0.16600000000000001</v>
      </c>
      <c r="F30">
        <f>(B30*E30)</f>
        <v>0.33200000000000002</v>
      </c>
      <c r="G30" s="6">
        <f>(B30*E30)/250</f>
        <v>1.328E-3</v>
      </c>
    </row>
    <row r="31" spans="1:9">
      <c r="A31" s="136" t="s">
        <v>16</v>
      </c>
      <c r="B31" s="22">
        <v>8</v>
      </c>
      <c r="C31" s="46" t="s">
        <v>45</v>
      </c>
      <c r="D31" s="70" t="s">
        <v>66</v>
      </c>
      <c r="E31" s="94">
        <v>0.01</v>
      </c>
      <c r="F31">
        <f>(B31*E31)</f>
        <v>0.08</v>
      </c>
      <c r="G31" s="6">
        <f>(B31*E31)/250</f>
        <v>3.2000000000000003E-4</v>
      </c>
    </row>
    <row r="32" spans="1:9" ht="90">
      <c r="A32" s="115"/>
      <c r="B32" s="115"/>
      <c r="C32" s="115"/>
      <c r="D32" s="115"/>
      <c r="E32" s="115"/>
      <c r="F32" s="116">
        <f>SUM(F7:F31)</f>
        <v>229.85472000000004</v>
      </c>
      <c r="G32" s="6"/>
      <c r="I32" s="164" t="s">
        <v>75</v>
      </c>
    </row>
    <row r="33" spans="9:9">
      <c r="I33" s="11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Esketitttttt</cp:lastModifiedBy>
  <dcterms:modified xsi:type="dcterms:W3CDTF">2021-03-24T06:53:24Z</dcterms:modified>
</cp:coreProperties>
</file>